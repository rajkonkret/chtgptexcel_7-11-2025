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13_ncr:1_{0171B92A-FB8D-4B9D-A32D-70B9200641A4}" xr6:coauthVersionLast="47" xr6:coauthVersionMax="47" xr10:uidLastSave="{00000000-0000-0000-0000-000000000000}"/>
  <bookViews>
    <workbookView xWindow="-105" yWindow="8895" windowWidth="27195" windowHeight="10350" xr2:uid="{00000000-000D-0000-FFFF-FFFF00000000}"/>
  </bookViews>
  <sheets>
    <sheet name="Clean Data" sheetId="1" r:id="rId1"/>
  </sheets>
  <definedNames>
    <definedName name="_xlnm._FilterDatabase" localSheetId="0" hidden="1">'Clean Data'!$C$5:$G$35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1" l="1" a="1"/>
  <c r="U6" i="1" s="1"/>
  <c r="S7" i="1" a="1"/>
  <c r="S7" i="1" s="1"/>
  <c r="S8" i="1" a="1"/>
  <c r="S8" i="1" s="1"/>
  <c r="S6" i="1" a="1"/>
  <c r="S6" i="1" s="1"/>
  <c r="I6" i="1" a="1"/>
  <c r="I6" i="1" s="1"/>
  <c r="R6" i="1" s="1" a="1"/>
  <c r="R6" i="1" s="1"/>
  <c r="R10" i="1" a="1"/>
  <c r="R10" i="1" s="1"/>
  <c r="R9" i="1" a="1"/>
  <c r="R9" i="1" s="1"/>
  <c r="R7" i="1" a="1"/>
  <c r="R7" i="1" s="1"/>
  <c r="R8" i="1" a="1"/>
  <c r="R8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H2" i="1" a="1"/>
  <c r="H2" i="1" s="1"/>
  <c r="K2" i="1"/>
  <c r="L3" i="1"/>
  <c r="L4" i="1"/>
  <c r="L2" i="1"/>
  <c r="J2" i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Q8" i="1"/>
  <c r="P8" i="1"/>
  <c r="Q7" i="1"/>
  <c r="P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<sst xmlns="http://schemas.openxmlformats.org/spreadsheetml/2006/main" count="103" uniqueCount="49">
  <si>
    <t>Salesperson</t>
  </si>
  <si>
    <t>Region</t>
  </si>
  <si>
    <t>Product Name</t>
  </si>
  <si>
    <t>Sales Amount</t>
  </si>
  <si>
    <t>Northeast</t>
  </si>
  <si>
    <t>Widget A</t>
  </si>
  <si>
    <t>West</t>
  </si>
  <si>
    <t>Widget B</t>
  </si>
  <si>
    <t>Widget C</t>
  </si>
  <si>
    <t>South</t>
  </si>
  <si>
    <t>What are the total sales ?</t>
  </si>
  <si>
    <t>Who is the Top Salesperson overall ?</t>
  </si>
  <si>
    <t>Alan Turing</t>
  </si>
  <si>
    <t>Grace Hopper</t>
  </si>
  <si>
    <t>Ada Lovelace</t>
  </si>
  <si>
    <t>Charles Babbage</t>
  </si>
  <si>
    <t>Katherine Johnson</t>
  </si>
  <si>
    <t>George Boole</t>
  </si>
  <si>
    <t>Hedy Lamarr</t>
  </si>
  <si>
    <t>Tim Berners-Lee</t>
  </si>
  <si>
    <t>Linus Torvalds</t>
  </si>
  <si>
    <t>Margaret Hamilton</t>
  </si>
  <si>
    <t>Claude Shannon</t>
  </si>
  <si>
    <t>Joan Clarke</t>
  </si>
  <si>
    <t>Michael Faraday</t>
  </si>
  <si>
    <t>Dorothy Vaughan</t>
  </si>
  <si>
    <t>Sergey Brin</t>
  </si>
  <si>
    <t>Larry Page</t>
  </si>
  <si>
    <t>Elon Musk</t>
  </si>
  <si>
    <t>Barbara Liskov</t>
  </si>
  <si>
    <t>Edsger W. Dijkstra</t>
  </si>
  <si>
    <t>Carol Shaw</t>
  </si>
  <si>
    <t>Donald Knuth</t>
  </si>
  <si>
    <t>Ada Yonath</t>
  </si>
  <si>
    <t>Emmett Brown</t>
  </si>
  <si>
    <t>Grace Murray Hopper</t>
  </si>
  <si>
    <t>Jean Bartik</t>
  </si>
  <si>
    <t>Ken Thompson</t>
  </si>
  <si>
    <t>Linus Pauling</t>
  </si>
  <si>
    <t>Mae Jemison</t>
  </si>
  <si>
    <t>Niklaus Wirth</t>
  </si>
  <si>
    <t>Radia Perlman</t>
  </si>
  <si>
    <t>#</t>
  </si>
  <si>
    <t>Automate Excel with ChatGPT</t>
  </si>
  <si>
    <t>Use Case Scenario : 1</t>
  </si>
  <si>
    <t>Queries to resolve</t>
  </si>
  <si>
    <t>Formula</t>
  </si>
  <si>
    <t>Formula creation with help of Chat GPT</t>
  </si>
  <si>
    <t>Who is the Top Salesperson in each Region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</si>
</sst>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(* #,##0.00_);_(* \(#,##0.0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 Antiqua"/>
      <family val="1"/>
    </font>
    <font>
      <b/>
      <sz val="12"/>
      <color theme="0"/>
      <name val="Book Antiqua"/>
      <family val="1"/>
    </font>
    <font>
      <sz val="12"/>
      <color rgb="FF374151"/>
      <name val="Book Antiqua"/>
      <family val="1"/>
    </font>
    <font>
      <u/>
      <sz val="12"/>
      <color theme="1"/>
      <name val="Book Antiqua"/>
      <family val="1"/>
    </font>
    <font>
      <b/>
      <sz val="16"/>
      <color theme="1"/>
      <name val="Book Antiqua"/>
      <family val="1"/>
    </font>
    <font>
      <b/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66" fontId="2" fillId="0" borderId="0" xfId="1" applyNumberFormat="1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3" borderId="5" xfId="0" applyFont="1" applyFill="1" applyBorder="1"/>
    <xf numFmtId="0" fontId="2" fillId="0" borderId="6" xfId="0" applyFont="1" applyBorder="1" applyAlignment="1">
      <alignment horizontal="center"/>
    </xf>
    <xf numFmtId="164" fontId="2" fillId="3" borderId="7" xfId="0" applyNumberFormat="1" applyFont="1" applyFill="1" applyBorder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3"/>
  <sheetViews>
    <sheetView showGridLines="0" tabSelected="1" topLeftCell="A3" workbookViewId="0">
      <selection activeCell="U6" sqref="U6"/>
    </sheetView>
  </sheetViews>
  <sheetFormatPr defaultColWidth="8.85546875" defaultRowHeight="15.75" x14ac:dyDescent="0.25"/>
  <cols>
    <col min="1" max="2" width="8.85546875" style="1"/>
    <col min="3" max="3" width="4.28515625" style="1" bestFit="1" customWidth="1"/>
    <col min="4" max="4" width="27.28515625" style="1" customWidth="1"/>
    <col min="5" max="5" width="12.42578125" style="1" customWidth="1"/>
    <col min="6" max="6" width="16.28515625" style="1" customWidth="1"/>
    <col min="7" max="7" width="14.28515625" style="1" customWidth="1"/>
    <col min="8" max="9" width="12.5703125" style="1" bestFit="1" customWidth="1"/>
    <col min="10" max="15" width="8.85546875" style="1"/>
    <col min="16" max="16" width="12.5703125" style="1" bestFit="1" customWidth="1"/>
    <col min="17" max="17" width="14.7109375" style="1" bestFit="1" customWidth="1"/>
    <col min="18" max="18" width="14.5703125" style="1" bestFit="1" customWidth="1"/>
    <col min="19" max="20" width="8.85546875" style="1"/>
    <col min="21" max="21" width="12.5703125" style="1" bestFit="1" customWidth="1"/>
    <col min="22" max="16384" width="8.85546875" style="1"/>
  </cols>
  <sheetData>
    <row r="1" spans="1:21" ht="20.25" x14ac:dyDescent="0.3">
      <c r="A1" s="12" t="s">
        <v>43</v>
      </c>
    </row>
    <row r="2" spans="1:21" ht="16.5" x14ac:dyDescent="0.3">
      <c r="A2" s="13" t="s">
        <v>44</v>
      </c>
      <c r="H2" s="1" cm="1">
        <f t="array" ref="H2">MAX(IF($E$6:$E$50=E6, $G$6:$G$50))</f>
        <v>750</v>
      </c>
      <c r="J2" s="1" t="b">
        <f>ISNUMBER(G2)</f>
        <v>0</v>
      </c>
      <c r="K2" s="1">
        <f>TYPE(G2)</f>
        <v>1</v>
      </c>
      <c r="L2" s="1">
        <f>VALUE(G2)</f>
        <v>0</v>
      </c>
    </row>
    <row r="3" spans="1:21" x14ac:dyDescent="0.25">
      <c r="A3" s="1" t="s">
        <v>47</v>
      </c>
      <c r="H3" s="1">
        <f t="array" ref="H3">MAX(IF($E$2:$E$50=E3, $G$2:$G$50))</f>
        <v>0</v>
      </c>
      <c r="L3" s="1">
        <f t="shared" ref="L3:L4" si="0">VALUE(G3)</f>
        <v>0</v>
      </c>
    </row>
    <row r="4" spans="1:21" ht="16.5" thickBot="1" x14ac:dyDescent="0.3">
      <c r="H4" s="1">
        <f t="array" ref="H4">MAX(IF($E$2:$E$50=E4, $G$2:$G$50))</f>
        <v>0</v>
      </c>
      <c r="L4" s="1">
        <f t="shared" si="0"/>
        <v>0</v>
      </c>
    </row>
    <row r="5" spans="1:21" ht="33.75" thickBot="1" x14ac:dyDescent="0.3">
      <c r="C5" s="2" t="s">
        <v>42</v>
      </c>
      <c r="D5" s="2" t="s">
        <v>0</v>
      </c>
      <c r="E5" s="2" t="s">
        <v>1</v>
      </c>
      <c r="F5" s="2" t="s">
        <v>2</v>
      </c>
      <c r="G5" s="3" t="s">
        <v>3</v>
      </c>
      <c r="H5" s="1">
        <f t="array" ref="H5">MAX(IF($E$2:$E$50=E5, $G$2:$G$50))</f>
        <v>0</v>
      </c>
      <c r="I5" s="4"/>
    </row>
    <row r="6" spans="1:21" ht="16.5" thickBot="1" x14ac:dyDescent="0.3">
      <c r="C6" s="6">
        <v>1</v>
      </c>
      <c r="D6" s="7" t="s">
        <v>12</v>
      </c>
      <c r="E6" s="7" t="s">
        <v>4</v>
      </c>
      <c r="F6" s="7" t="s">
        <v>5</v>
      </c>
      <c r="G6" s="8">
        <v>500</v>
      </c>
      <c r="H6" s="1">
        <f t="array" ref="H6">MAX(IF($E$2:$E$50=E6, $G$2:$G$50))</f>
        <v>750</v>
      </c>
      <c r="I6" s="1" cm="1">
        <f t="array" ref="I6">MAX(IF($E$6:$E$1000=E6, $G$6:$G$1000))</f>
        <v>750</v>
      </c>
      <c r="J6" s="5" t="s">
        <v>45</v>
      </c>
      <c r="P6" s="15" t="s">
        <v>46</v>
      </c>
      <c r="R6" s="1" t="str" cm="1">
        <f t="array" ref="R6">INDEX($D$6:$D$1000, MATCH(1, ($E$6:$E$1000=E6)*($G$6:$G$1000=I6), 0))</f>
        <v>Ada Lovelace</v>
      </c>
      <c r="S6" s="1" t="str">
        <f t="array" ref="S6">INDEX($D$6:$D$1000,MATCH(1,($E$6:$E$1000=E6)*($G$6:$G$1000=I6),0))</f>
        <v>Ada Lovelace</v>
      </c>
      <c r="U6" s="1" t="e" cm="1">
        <f t="array" aca="1" ref="U6" ca="1">SUMA.ILOCZYN(G6:G10)</f>
        <v>#NAME?</v>
      </c>
    </row>
    <row r="7" spans="1:21" ht="16.5" thickBot="1" x14ac:dyDescent="0.3">
      <c r="C7" s="6">
        <v>2</v>
      </c>
      <c r="D7" s="7" t="s">
        <v>13</v>
      </c>
      <c r="E7" s="7" t="s">
        <v>6</v>
      </c>
      <c r="F7" s="7" t="s">
        <v>7</v>
      </c>
      <c r="G7" s="8">
        <v>300</v>
      </c>
      <c r="H7" s="1">
        <f t="array" ref="H7">MAX(IF($E$2:$E$50=E7, $G$2:$G$50))</f>
        <v>850</v>
      </c>
      <c r="I7" s="1" cm="1">
        <f t="array" ref="I7">MAX(IF($E$6:$E$1000=E7, $G$6:$G$1000))</f>
        <v>850</v>
      </c>
      <c r="J7" s="9" t="s">
        <v>10</v>
      </c>
      <c r="O7" s="10"/>
      <c r="P7" s="16">
        <f>SUM(G2:G50)</f>
        <v>15730</v>
      </c>
      <c r="Q7" s="1">
        <f>SUM(G:G)</f>
        <v>15730</v>
      </c>
      <c r="R7" s="1" t="str" cm="1">
        <f t="array" ref="R7">INDEX($D$6:$D$1000, MATCH(1, ($E$6:$E$1000=E7)*($G$6:$G$1000=I7), 0))</f>
        <v>Carol Shaw</v>
      </c>
      <c r="S7" s="1" t="str">
        <f t="array" ref="S7">INDEX($D$6:$D$1000,MATCH(1,($E$6:$E$1000=E7)*($G$6:$G$1000=I7),0))</f>
        <v>Carol Shaw</v>
      </c>
    </row>
    <row r="8" spans="1:21" ht="16.5" thickBot="1" x14ac:dyDescent="0.3">
      <c r="C8" s="6">
        <v>3</v>
      </c>
      <c r="D8" s="7" t="s">
        <v>14</v>
      </c>
      <c r="E8" s="7" t="s">
        <v>4</v>
      </c>
      <c r="F8" s="7" t="s">
        <v>8</v>
      </c>
      <c r="G8" s="8">
        <v>750</v>
      </c>
      <c r="H8" s="1">
        <f t="array" ref="H8">MAX(IF($E$2:$E$50=E8, $G$2:$G$50))</f>
        <v>750</v>
      </c>
      <c r="I8" s="1" cm="1">
        <f t="array" ref="I8">MAX(IF($E$6:$E$1000=E8, $G$6:$G$1000))</f>
        <v>750</v>
      </c>
      <c r="J8" s="9" t="s">
        <v>11</v>
      </c>
      <c r="P8" s="14" t="str">
        <f>INDEX(D2:D50, MATCH(MAX(G2:G50), G2:G50, 0))</f>
        <v>Carol Shaw</v>
      </c>
      <c r="Q8" s="1" t="str">
        <f>INDEX(D2:D50, MATCH(MAX(G2:G50), G2:G50, 0))</f>
        <v>Carol Shaw</v>
      </c>
      <c r="R8" s="1" t="str" cm="1">
        <f t="array" ref="R8">INDEX($D$6:$D$1000, MATCH(1, ($E$6:$E$1000=E8)*($G$6:$G$1000=I8), 0))</f>
        <v>Ada Lovelace</v>
      </c>
      <c r="S8" s="1" t="str">
        <f t="array" ref="S8">INDEX($D$6:$D$1000,MATCH(1,($E$6:$E$1000=E8)*($G$6:$G$1000=I8),0))</f>
        <v>Ada Lovelace</v>
      </c>
    </row>
    <row r="9" spans="1:21" ht="16.5" thickBot="1" x14ac:dyDescent="0.3">
      <c r="C9" s="6">
        <v>4</v>
      </c>
      <c r="D9" s="7" t="s">
        <v>15</v>
      </c>
      <c r="E9" s="7" t="s">
        <v>9</v>
      </c>
      <c r="F9" s="7" t="s">
        <v>5</v>
      </c>
      <c r="G9" s="8">
        <v>550</v>
      </c>
      <c r="H9" s="1">
        <f t="array" ref="H9">MAX(IF($E$2:$E$50=E9, $G$2:$G$50))</f>
        <v>600</v>
      </c>
      <c r="I9" s="1" cm="1">
        <f t="array" ref="I9">MAX(IF($E$6:$E$1000=E9, $G$6:$G$1000))</f>
        <v>600</v>
      </c>
      <c r="J9" s="9" t="s">
        <v>48</v>
      </c>
      <c r="P9" s="14"/>
      <c r="R9" s="1" t="str" cm="1">
        <f t="array" ref="R9">INDEX($D$6:$D$1000, MATCH(1, ($E$6:$E$1000=E9)*($G$6:$G$1000=I9), 0))</f>
        <v>Barbara Liskov</v>
      </c>
    </row>
    <row r="10" spans="1:21" ht="16.5" thickBot="1" x14ac:dyDescent="0.3">
      <c r="C10" s="6">
        <v>5</v>
      </c>
      <c r="D10" s="7" t="s">
        <v>16</v>
      </c>
      <c r="E10" s="7" t="s">
        <v>6</v>
      </c>
      <c r="F10" s="7" t="s">
        <v>8</v>
      </c>
      <c r="G10" s="8">
        <v>450</v>
      </c>
      <c r="H10" s="1">
        <f t="array" ref="H10">MAX(IF($E$2:$E$50=E10, $G$2:$G$50))</f>
        <v>850</v>
      </c>
      <c r="I10" s="1" cm="1">
        <f t="array" ref="I10">MAX(IF($E$6:$E$1000=E10, $G$6:$G$1000))</f>
        <v>850</v>
      </c>
      <c r="R10" s="1" t="str" cm="1">
        <f t="array" ref="R10">INDEX($D$6:$D$1000, MATCH(1, ($E$6:$E$1000=E10)*($G$6:$G$1000=I10), 0))</f>
        <v>Carol Shaw</v>
      </c>
    </row>
    <row r="11" spans="1:21" ht="16.5" thickBot="1" x14ac:dyDescent="0.3">
      <c r="C11" s="6">
        <v>6</v>
      </c>
      <c r="D11" s="7" t="s">
        <v>17</v>
      </c>
      <c r="E11" s="7" t="s">
        <v>4</v>
      </c>
      <c r="F11" s="7" t="s">
        <v>7</v>
      </c>
      <c r="G11" s="8">
        <v>400</v>
      </c>
      <c r="H11" s="1">
        <f t="array" ref="H11">MAX(IF($E$2:$E$50=E11, $G$2:$G$50))</f>
        <v>750</v>
      </c>
      <c r="I11" s="1" cm="1">
        <f t="array" ref="I11">MAX(IF($E$6:$E$1000=E11, $G$6:$G$1000))</f>
        <v>750</v>
      </c>
      <c r="K11" s="11"/>
    </row>
    <row r="12" spans="1:21" ht="16.5" thickBot="1" x14ac:dyDescent="0.3">
      <c r="C12" s="6">
        <v>7</v>
      </c>
      <c r="D12" s="7" t="s">
        <v>18</v>
      </c>
      <c r="E12" s="7" t="s">
        <v>6</v>
      </c>
      <c r="F12" s="7" t="s">
        <v>5</v>
      </c>
      <c r="G12" s="8">
        <v>600</v>
      </c>
      <c r="H12" s="1">
        <f t="array" ref="H12">MAX(IF($E$2:$E$50=E12, $G$2:$G$50))</f>
        <v>850</v>
      </c>
      <c r="I12" s="1" cm="1">
        <f t="array" ref="I12">MAX(IF($E$6:$E$1000=E12, $G$6:$G$1000))</f>
        <v>850</v>
      </c>
      <c r="K12" s="11"/>
    </row>
    <row r="13" spans="1:21" ht="16.5" thickBot="1" x14ac:dyDescent="0.3">
      <c r="C13" s="6">
        <v>8</v>
      </c>
      <c r="D13" s="7" t="s">
        <v>19</v>
      </c>
      <c r="E13" s="7" t="s">
        <v>4</v>
      </c>
      <c r="F13" s="7" t="s">
        <v>5</v>
      </c>
      <c r="G13" s="8">
        <v>650</v>
      </c>
      <c r="I13" s="1" cm="1">
        <f t="array" ref="I13">MAX(IF($E$6:$E$1000=E13, $G$6:$G$1000))</f>
        <v>750</v>
      </c>
      <c r="K13" s="11"/>
    </row>
    <row r="14" spans="1:21" ht="16.5" thickBot="1" x14ac:dyDescent="0.3">
      <c r="C14" s="6">
        <v>9</v>
      </c>
      <c r="D14" s="7" t="s">
        <v>20</v>
      </c>
      <c r="E14" s="7" t="s">
        <v>9</v>
      </c>
      <c r="F14" s="7" t="s">
        <v>8</v>
      </c>
      <c r="G14" s="8">
        <v>350</v>
      </c>
      <c r="I14" s="1" cm="1">
        <f t="array" ref="I14">MAX(IF($E$6:$E$1000=E14, $G$6:$G$1000))</f>
        <v>600</v>
      </c>
    </row>
    <row r="15" spans="1:21" ht="16.5" thickBot="1" x14ac:dyDescent="0.3">
      <c r="C15" s="6">
        <v>10</v>
      </c>
      <c r="D15" s="7" t="s">
        <v>21</v>
      </c>
      <c r="E15" s="7" t="s">
        <v>6</v>
      </c>
      <c r="F15" s="7" t="s">
        <v>7</v>
      </c>
      <c r="G15" s="8">
        <v>400</v>
      </c>
      <c r="I15" s="1" cm="1">
        <f t="array" ref="I15">MAX(IF($E$6:$E$1000=E15, $G$6:$G$1000))</f>
        <v>850</v>
      </c>
    </row>
    <row r="16" spans="1:21" ht="16.5" thickBot="1" x14ac:dyDescent="0.3">
      <c r="C16" s="6">
        <v>11</v>
      </c>
      <c r="D16" s="7" t="s">
        <v>22</v>
      </c>
      <c r="E16" s="7" t="s">
        <v>4</v>
      </c>
      <c r="F16" s="7" t="s">
        <v>8</v>
      </c>
      <c r="G16" s="8">
        <v>550</v>
      </c>
      <c r="I16" s="1" cm="1">
        <f t="array" ref="I16">MAX(IF($E$6:$E$1000=E16, $G$6:$G$1000))</f>
        <v>750</v>
      </c>
    </row>
    <row r="17" spans="3:9" ht="16.5" thickBot="1" x14ac:dyDescent="0.3">
      <c r="C17" s="6">
        <v>12</v>
      </c>
      <c r="D17" s="7" t="s">
        <v>23</v>
      </c>
      <c r="E17" s="7" t="s">
        <v>6</v>
      </c>
      <c r="F17" s="7" t="s">
        <v>8</v>
      </c>
      <c r="G17" s="8">
        <v>300</v>
      </c>
      <c r="I17" s="1" cm="1">
        <f t="array" ref="I17">MAX(IF($E$6:$E$1000=E17, $G$6:$G$1000))</f>
        <v>850</v>
      </c>
    </row>
    <row r="18" spans="3:9" ht="16.5" thickBot="1" x14ac:dyDescent="0.3">
      <c r="C18" s="6">
        <v>13</v>
      </c>
      <c r="D18" s="7" t="s">
        <v>24</v>
      </c>
      <c r="E18" s="7" t="s">
        <v>4</v>
      </c>
      <c r="F18" s="7" t="s">
        <v>7</v>
      </c>
      <c r="G18" s="8">
        <v>500</v>
      </c>
      <c r="I18" s="1" cm="1">
        <f t="array" ref="I18">MAX(IF($E$6:$E$1000=E18, $G$6:$G$1000))</f>
        <v>750</v>
      </c>
    </row>
    <row r="19" spans="3:9" ht="16.5" thickBot="1" x14ac:dyDescent="0.3">
      <c r="C19" s="6">
        <v>14</v>
      </c>
      <c r="D19" s="7" t="s">
        <v>25</v>
      </c>
      <c r="E19" s="7" t="s">
        <v>9</v>
      </c>
      <c r="F19" s="7" t="s">
        <v>7</v>
      </c>
      <c r="G19" s="8">
        <v>500</v>
      </c>
      <c r="I19" s="1" cm="1">
        <f t="array" ref="I19">MAX(IF($E$6:$E$1000=E19, $G$6:$G$1000))</f>
        <v>600</v>
      </c>
    </row>
    <row r="20" spans="3:9" ht="16.5" thickBot="1" x14ac:dyDescent="0.3">
      <c r="C20" s="6">
        <v>15</v>
      </c>
      <c r="D20" s="7" t="s">
        <v>26</v>
      </c>
      <c r="E20" s="7" t="s">
        <v>6</v>
      </c>
      <c r="F20" s="7" t="s">
        <v>5</v>
      </c>
      <c r="G20" s="8">
        <v>650</v>
      </c>
      <c r="I20" s="1" cm="1">
        <f t="array" ref="I20">MAX(IF($E$6:$E$1000=E20, $G$6:$G$1000))</f>
        <v>850</v>
      </c>
    </row>
    <row r="21" spans="3:9" ht="16.5" thickBot="1" x14ac:dyDescent="0.3">
      <c r="C21" s="6">
        <v>16</v>
      </c>
      <c r="D21" s="7" t="s">
        <v>27</v>
      </c>
      <c r="E21" s="7" t="s">
        <v>4</v>
      </c>
      <c r="F21" s="7" t="s">
        <v>5</v>
      </c>
      <c r="G21" s="8">
        <v>600</v>
      </c>
      <c r="I21" s="1" cm="1">
        <f t="array" ref="I21">MAX(IF($E$6:$E$1000=E21, $G$6:$G$1000))</f>
        <v>750</v>
      </c>
    </row>
    <row r="22" spans="3:9" ht="16.5" thickBot="1" x14ac:dyDescent="0.3">
      <c r="C22" s="6">
        <v>17</v>
      </c>
      <c r="D22" s="7" t="s">
        <v>28</v>
      </c>
      <c r="E22" s="7" t="s">
        <v>6</v>
      </c>
      <c r="F22" s="7" t="s">
        <v>7</v>
      </c>
      <c r="G22" s="8">
        <v>750</v>
      </c>
      <c r="I22" s="1" cm="1">
        <f t="array" ref="I22">MAX(IF($E$6:$E$1000=E22, $G$6:$G$1000))</f>
        <v>850</v>
      </c>
    </row>
    <row r="23" spans="3:9" ht="16.5" thickBot="1" x14ac:dyDescent="0.3">
      <c r="C23" s="6">
        <v>18</v>
      </c>
      <c r="D23" s="7" t="s">
        <v>29</v>
      </c>
      <c r="E23" s="7" t="s">
        <v>9</v>
      </c>
      <c r="F23" s="7" t="s">
        <v>8</v>
      </c>
      <c r="G23" s="8">
        <v>600</v>
      </c>
      <c r="I23" s="1" cm="1">
        <f t="array" ref="I23">MAX(IF($E$6:$E$1000=E23, $G$6:$G$1000))</f>
        <v>600</v>
      </c>
    </row>
    <row r="24" spans="3:9" ht="16.5" thickBot="1" x14ac:dyDescent="0.3">
      <c r="C24" s="6">
        <v>19</v>
      </c>
      <c r="D24" s="7" t="s">
        <v>30</v>
      </c>
      <c r="E24" s="7" t="s">
        <v>4</v>
      </c>
      <c r="F24" s="7" t="s">
        <v>8</v>
      </c>
      <c r="G24" s="8">
        <v>550</v>
      </c>
      <c r="I24" s="1" cm="1">
        <f t="array" ref="I24">MAX(IF($E$6:$E$1000=E24, $G$6:$G$1000))</f>
        <v>750</v>
      </c>
    </row>
    <row r="25" spans="3:9" ht="16.5" thickBot="1" x14ac:dyDescent="0.3">
      <c r="C25" s="6">
        <v>20</v>
      </c>
      <c r="D25" s="7" t="s">
        <v>31</v>
      </c>
      <c r="E25" s="7" t="s">
        <v>6</v>
      </c>
      <c r="F25" s="7" t="s">
        <v>5</v>
      </c>
      <c r="G25" s="8">
        <v>850</v>
      </c>
      <c r="I25" s="1" cm="1">
        <f t="array" ref="I25">MAX(IF($E$6:$E$1000=E25, $G$6:$G$1000))</f>
        <v>850</v>
      </c>
    </row>
    <row r="26" spans="3:9" ht="16.5" thickBot="1" x14ac:dyDescent="0.3">
      <c r="C26" s="6">
        <v>21</v>
      </c>
      <c r="D26" s="7" t="s">
        <v>32</v>
      </c>
      <c r="E26" s="7" t="s">
        <v>9</v>
      </c>
      <c r="F26" s="7" t="s">
        <v>5</v>
      </c>
      <c r="G26" s="8">
        <v>470</v>
      </c>
      <c r="I26" s="1" cm="1">
        <f t="array" ref="I26">MAX(IF($E$6:$E$1000=E26, $G$6:$G$1000))</f>
        <v>600</v>
      </c>
    </row>
    <row r="27" spans="3:9" ht="16.5" thickBot="1" x14ac:dyDescent="0.3">
      <c r="C27" s="6">
        <v>22</v>
      </c>
      <c r="D27" s="7" t="s">
        <v>33</v>
      </c>
      <c r="E27" s="7" t="s">
        <v>4</v>
      </c>
      <c r="F27" s="7" t="s">
        <v>7</v>
      </c>
      <c r="G27" s="8">
        <v>310</v>
      </c>
      <c r="I27" s="1" cm="1">
        <f t="array" ref="I27">MAX(IF($E$6:$E$1000=E27, $G$6:$G$1000))</f>
        <v>750</v>
      </c>
    </row>
    <row r="28" spans="3:9" ht="16.5" thickBot="1" x14ac:dyDescent="0.3">
      <c r="C28" s="6">
        <v>23</v>
      </c>
      <c r="D28" s="7" t="s">
        <v>34</v>
      </c>
      <c r="E28" s="7" t="s">
        <v>6</v>
      </c>
      <c r="F28" s="7" t="s">
        <v>8</v>
      </c>
      <c r="G28" s="8">
        <v>290</v>
      </c>
      <c r="I28" s="1" cm="1">
        <f t="array" ref="I28">MAX(IF($E$6:$E$1000=E28, $G$6:$G$1000))</f>
        <v>850</v>
      </c>
    </row>
    <row r="29" spans="3:9" ht="16.5" thickBot="1" x14ac:dyDescent="0.3">
      <c r="C29" s="6">
        <v>24</v>
      </c>
      <c r="D29" s="7" t="s">
        <v>35</v>
      </c>
      <c r="E29" s="7" t="s">
        <v>9</v>
      </c>
      <c r="F29" s="7" t="s">
        <v>7</v>
      </c>
      <c r="G29" s="8">
        <v>520</v>
      </c>
      <c r="I29" s="1" cm="1">
        <f t="array" ref="I29">MAX(IF($E$6:$E$1000=E29, $G$6:$G$1000))</f>
        <v>600</v>
      </c>
    </row>
    <row r="30" spans="3:9" ht="16.5" thickBot="1" x14ac:dyDescent="0.3">
      <c r="C30" s="6">
        <v>25</v>
      </c>
      <c r="D30" s="7" t="s">
        <v>36</v>
      </c>
      <c r="E30" s="7" t="s">
        <v>4</v>
      </c>
      <c r="F30" s="7" t="s">
        <v>5</v>
      </c>
      <c r="G30" s="8">
        <v>630</v>
      </c>
      <c r="I30" s="1" cm="1">
        <f t="array" ref="I30">MAX(IF($E$6:$E$1000=E30, $G$6:$G$1000))</f>
        <v>750</v>
      </c>
    </row>
    <row r="31" spans="3:9" ht="16.5" thickBot="1" x14ac:dyDescent="0.3">
      <c r="C31" s="6">
        <v>26</v>
      </c>
      <c r="D31" s="7" t="s">
        <v>37</v>
      </c>
      <c r="E31" s="7" t="s">
        <v>6</v>
      </c>
      <c r="F31" s="7" t="s">
        <v>7</v>
      </c>
      <c r="G31" s="8">
        <v>410</v>
      </c>
      <c r="I31" s="1" cm="1">
        <f t="array" ref="I31">MAX(IF($E$6:$E$1000=E31, $G$6:$G$1000))</f>
        <v>850</v>
      </c>
    </row>
    <row r="32" spans="3:9" ht="16.5" thickBot="1" x14ac:dyDescent="0.3">
      <c r="C32" s="6">
        <v>27</v>
      </c>
      <c r="D32" s="7" t="s">
        <v>38</v>
      </c>
      <c r="E32" s="7" t="s">
        <v>9</v>
      </c>
      <c r="F32" s="7" t="s">
        <v>8</v>
      </c>
      <c r="G32" s="8">
        <v>560</v>
      </c>
      <c r="I32" s="1" cm="1">
        <f t="array" ref="I32">MAX(IF($E$6:$E$1000=E32, $G$6:$G$1000))</f>
        <v>600</v>
      </c>
    </row>
    <row r="33" spans="3:9" ht="16.5" thickBot="1" x14ac:dyDescent="0.3">
      <c r="C33" s="6">
        <v>28</v>
      </c>
      <c r="D33" s="7" t="s">
        <v>39</v>
      </c>
      <c r="E33" s="7" t="s">
        <v>4</v>
      </c>
      <c r="F33" s="7" t="s">
        <v>8</v>
      </c>
      <c r="G33" s="8">
        <v>490</v>
      </c>
      <c r="I33" s="1" cm="1">
        <f t="array" ref="I33">MAX(IF($E$6:$E$1000=E33, $G$6:$G$1000))</f>
        <v>750</v>
      </c>
    </row>
    <row r="34" spans="3:9" ht="16.5" thickBot="1" x14ac:dyDescent="0.3">
      <c r="C34" s="6">
        <v>29</v>
      </c>
      <c r="D34" s="7" t="s">
        <v>40</v>
      </c>
      <c r="E34" s="7" t="s">
        <v>9</v>
      </c>
      <c r="F34" s="7" t="s">
        <v>5</v>
      </c>
      <c r="G34" s="8">
        <v>580</v>
      </c>
      <c r="I34" s="1" cm="1">
        <f t="array" ref="I34">MAX(IF($E$6:$E$1000=E34, $G$6:$G$1000))</f>
        <v>600</v>
      </c>
    </row>
    <row r="35" spans="3:9" ht="16.5" thickBot="1" x14ac:dyDescent="0.3">
      <c r="C35" s="6">
        <v>30</v>
      </c>
      <c r="D35" s="7" t="s">
        <v>41</v>
      </c>
      <c r="E35" s="7" t="s">
        <v>6</v>
      </c>
      <c r="F35" s="7" t="s">
        <v>5</v>
      </c>
      <c r="G35" s="8">
        <v>670</v>
      </c>
      <c r="I35" s="1" cm="1">
        <f t="array" ref="I35">MAX(IF($E$6:$E$1000=E35, $G$6:$G$1000))</f>
        <v>850</v>
      </c>
    </row>
    <row r="36" spans="3:9" x14ac:dyDescent="0.25">
      <c r="I36" s="1" cm="1">
        <f t="array" ref="I36">MAX(IF($E$6:$E$1000=E36, $G$6:$G$1000))</f>
        <v>0</v>
      </c>
    </row>
    <row r="37" spans="3:9" x14ac:dyDescent="0.25">
      <c r="I37" s="1" cm="1">
        <f t="array" ref="I37">MAX(IF($E$6:$E$1000=E37, $G$6:$G$1000))</f>
        <v>0</v>
      </c>
    </row>
    <row r="38" spans="3:9" x14ac:dyDescent="0.25">
      <c r="I38" s="1" cm="1">
        <f t="array" ref="I38">MAX(IF($E$6:$E$1000=E38, $G$6:$G$1000))</f>
        <v>0</v>
      </c>
    </row>
    <row r="39" spans="3:9" x14ac:dyDescent="0.25">
      <c r="I39" s="1" cm="1">
        <f t="array" ref="I39">MAX(IF($E$6:$E$1000=E39, $G$6:$G$1000))</f>
        <v>0</v>
      </c>
    </row>
    <row r="40" spans="3:9" x14ac:dyDescent="0.25">
      <c r="I40" s="1" cm="1">
        <f t="array" ref="I40">MAX(IF($E$6:$E$1000=E40, $G$6:$G$1000))</f>
        <v>0</v>
      </c>
    </row>
    <row r="41" spans="3:9" x14ac:dyDescent="0.25">
      <c r="I41" s="1" cm="1">
        <f t="array" ref="I41">MAX(IF($E$6:$E$1000=E41, $G$6:$G$1000))</f>
        <v>0</v>
      </c>
    </row>
    <row r="42" spans="3:9" x14ac:dyDescent="0.25">
      <c r="I42" s="1" cm="1">
        <f t="array" ref="I42">MAX(IF($E$6:$E$1000=E42, $G$6:$G$1000))</f>
        <v>0</v>
      </c>
    </row>
    <row r="43" spans="3:9" x14ac:dyDescent="0.25">
      <c r="I43" s="1" cm="1">
        <f t="array" ref="I43">MAX(IF($E$6:$E$1000=E43, $G$6:$G$1000))</f>
        <v>0</v>
      </c>
    </row>
  </sheetData>
  <pageMargins left="0.7" right="0.7" top="0.75" bottom="0.75" header="0.3" footer="0.3"/>
  <pageSetup orientation="portrait" horizontalDpi="4294967295" verticalDpi="4294967295" r:id="rId1"/>
  <headerFooter>
    <oddFooter>&amp;L_x000D_&amp;1#&amp;"Calibri"&amp;10&amp;K000000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Butt, Muhammad, Vodafone Qatar</dc:creator>
  <cp:lastModifiedBy>studszkol 23</cp:lastModifiedBy>
  <dcterms:created xsi:type="dcterms:W3CDTF">2015-06-05T18:17:20Z</dcterms:created>
  <dcterms:modified xsi:type="dcterms:W3CDTF">2025-11-07T10:53:45Z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005795-ba7c-40ef-b6d7-815de3cb1a85_Enabled">
    <vt:lpwstr>true</vt:lpwstr>
  </property>
  <property fmtid="{D5CDD505-2E9C-101B-9397-08002B2CF9AE}" pid="3" name="MSIP_Label_4c005795-ba7c-40ef-b6d7-815de3cb1a85_SetDate">
    <vt:lpwstr>2024-02-07T17:28:56Z</vt:lpwstr>
  </property>
  <property fmtid="{D5CDD505-2E9C-101B-9397-08002B2CF9AE}" pid="4" name="MSIP_Label_4c005795-ba7c-40ef-b6d7-815de3cb1a85_Method">
    <vt:lpwstr>Standard</vt:lpwstr>
  </property>
  <property fmtid="{D5CDD505-2E9C-101B-9397-08002B2CF9AE}" pid="5" name="MSIP_Label_4c005795-ba7c-40ef-b6d7-815de3cb1a85_Name">
    <vt:lpwstr>defa4170-0d19-0005-0001-bc88714345d2</vt:lpwstr>
  </property>
  <property fmtid="{D5CDD505-2E9C-101B-9397-08002B2CF9AE}" pid="6" name="MSIP_Label_4c005795-ba7c-40ef-b6d7-815de3cb1a85_SiteId">
    <vt:lpwstr>c5d7ec23-378f-4174-8888-88b4c2ec7e12</vt:lpwstr>
  </property>
  <property fmtid="{D5CDD505-2E9C-101B-9397-08002B2CF9AE}" pid="7" name="MSIP_Label_4c005795-ba7c-40ef-b6d7-815de3cb1a85_ActionId">
    <vt:lpwstr>b1f1a423-6444-44fd-918e-f7eaf5630bed</vt:lpwstr>
  </property>
  <property fmtid="{D5CDD505-2E9C-101B-9397-08002B2CF9AE}" pid="8" name="MSIP_Label_4c005795-ba7c-40ef-b6d7-815de3cb1a85_ContentBits">
    <vt:lpwstr>2</vt:lpwstr>
  </property>
</Properties>
</file>